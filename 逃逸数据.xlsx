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en\Desktop\"/>
    </mc:Choice>
  </mc:AlternateContent>
  <xr:revisionPtr revIDLastSave="0" documentId="13_ncr:1_{9F11723A-FF1C-403C-AD35-846BEFF75B1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" l="1"/>
  <c r="M3" i="1"/>
  <c r="M4" i="1"/>
  <c r="M5" i="1"/>
  <c r="M6" i="1"/>
  <c r="M7" i="1"/>
  <c r="M8" i="1"/>
  <c r="M9" i="1"/>
  <c r="M10" i="1"/>
  <c r="M2" i="1"/>
  <c r="L3" i="1"/>
  <c r="L4" i="1"/>
  <c r="L5" i="1"/>
  <c r="L6" i="1"/>
  <c r="L7" i="1"/>
  <c r="L8" i="1"/>
  <c r="L9" i="1"/>
  <c r="L10" i="1"/>
  <c r="L11" i="1"/>
  <c r="L2" i="1"/>
  <c r="K11" i="1"/>
  <c r="J11" i="1"/>
  <c r="I11" i="1"/>
  <c r="H11" i="1"/>
  <c r="G11" i="1"/>
  <c r="F11" i="1"/>
  <c r="E11" i="1"/>
  <c r="C11" i="1"/>
  <c r="D11" i="1"/>
  <c r="B11" i="1"/>
</calcChain>
</file>

<file path=xl/sharedStrings.xml><?xml version="1.0" encoding="utf-8"?>
<sst xmlns="http://schemas.openxmlformats.org/spreadsheetml/2006/main" count="31" uniqueCount="21">
  <si>
    <t>类别</t>
  </si>
  <si>
    <t>返回地址</t>
  </si>
  <si>
    <t>空间过大</t>
  </si>
  <si>
    <t>动态大小</t>
  </si>
  <si>
    <t>全局变量</t>
  </si>
  <si>
    <t>外层循环</t>
  </si>
  <si>
    <t>间接访存</t>
  </si>
  <si>
    <t>多线程访问</t>
  </si>
  <si>
    <t>函数参数</t>
  </si>
  <si>
    <t>映射索引</t>
  </si>
  <si>
    <t>rclone</t>
    <phoneticPr fontId="2" type="noConversion"/>
  </si>
  <si>
    <t>etcd</t>
    <phoneticPr fontId="2" type="noConversion"/>
  </si>
  <si>
    <t>v2ray</t>
    <phoneticPr fontId="2" type="noConversion"/>
  </si>
  <si>
    <t>总计</t>
    <phoneticPr fontId="2" type="noConversion"/>
  </si>
  <si>
    <t>gogs</t>
    <phoneticPr fontId="2" type="noConversion"/>
  </si>
  <si>
    <t>hugo</t>
    <phoneticPr fontId="2" type="noConversion"/>
  </si>
  <si>
    <t>cli</t>
    <phoneticPr fontId="2" type="noConversion"/>
  </si>
  <si>
    <t>dgraph</t>
    <phoneticPr fontId="2" type="noConversion"/>
  </si>
  <si>
    <t>photoprism</t>
    <phoneticPr fontId="2" type="noConversion"/>
  </si>
  <si>
    <t>kubernetes</t>
    <phoneticPr fontId="2" type="noConversion"/>
  </si>
  <si>
    <t>moby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</si>
</sst>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ont="0" applyFill="0" applyBorder="0" applyAlignment="0" applyProtection="0"/>
  </cellStyleXfs>
  <cellXfs count="6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horizontal="center"/>
    </xf>
    <xf numFmtId="0" fontId="3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2">
    <cellStyle name="常规" xfId="0" builtinId="0"/>
    <cellStyle name="常规 2" xfId="1" xr:uid="{3D5C3B75-05CB-48C1-8BC7-1CEC9F3FB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8C-4DD3-A6F7-E0D2FF6B9A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8C-4DD3-A6F7-E0D2FF6B9A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8C-4DD3-A6F7-E0D2FF6B9A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8C-4DD3-A6F7-E0D2FF6B9A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8C-4DD3-A6F7-E0D2FF6B9A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F8C-4DD3-A6F7-E0D2FF6B9AA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F8C-4DD3-A6F7-E0D2FF6B9A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F8C-4DD3-A6F7-E0D2FF6B9AA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F8C-4DD3-A6F7-E0D2FF6B9AA5}"/>
              </c:ext>
            </c:extLst>
          </c:dPt>
          <c:cat>
            <c:strRef>
              <c:f>Sheet1!$M$18:$M$26</c:f>
              <c:strCache>
                <c:ptCount val="9"/>
                <c:pt idx="0">
                  <c:v>返回地址</c:v>
                </c:pt>
                <c:pt idx="1">
                  <c:v>空间过大</c:v>
                </c:pt>
                <c:pt idx="2">
                  <c:v>动态大小</c:v>
                </c:pt>
                <c:pt idx="3">
                  <c:v>全局变量</c:v>
                </c:pt>
                <c:pt idx="4">
                  <c:v>外层循环</c:v>
                </c:pt>
                <c:pt idx="5">
                  <c:v>间接访存</c:v>
                </c:pt>
                <c:pt idx="6">
                  <c:v>多线程访问</c:v>
                </c:pt>
                <c:pt idx="7">
                  <c:v>函数参数</c:v>
                </c:pt>
                <c:pt idx="8">
                  <c:v>映射索引</c:v>
                </c:pt>
              </c:strCache>
            </c:strRef>
          </c:cat>
          <c:val>
            <c:numRef>
              <c:f>Sheet1!$N$18:$N$26</c:f>
              <c:numCache>
                <c:formatCode>General</c:formatCode>
                <c:ptCount val="9"/>
                <c:pt idx="0">
                  <c:v>238597</c:v>
                </c:pt>
                <c:pt idx="1">
                  <c:v>342</c:v>
                </c:pt>
                <c:pt idx="2">
                  <c:v>46004</c:v>
                </c:pt>
                <c:pt idx="3">
                  <c:v>68396</c:v>
                </c:pt>
                <c:pt idx="4">
                  <c:v>4135</c:v>
                </c:pt>
                <c:pt idx="5">
                  <c:v>87777</c:v>
                </c:pt>
                <c:pt idx="6">
                  <c:v>2876</c:v>
                </c:pt>
                <c:pt idx="7">
                  <c:v>571220</c:v>
                </c:pt>
                <c:pt idx="8">
                  <c:v>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4-4E1A-A492-6AC3D3767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53678152366962"/>
          <c:y val="6.6929653175177781E-2"/>
          <c:w val="0.24544250645633259"/>
          <c:h val="0.847344376064749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547006</xdr:colOff>
      <xdr:row>16</xdr:row>
      <xdr:rowOff>35377</xdr:rowOff>
    </xdr:from>
    <xdr:to>
      <xdr:col>8</xdr:col>
      <xdr:colOff>201385</xdr:colOff>
      <xdr:row>26</xdr:row>
      <xdr:rowOff>87087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34275A6-E0E2-6A20-FCB6-EF422F713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"/>
  <sheetViews>
    <sheetView tabSelected="1" workbookViewId="0">
      <selection activeCell="H32" sqref="H32"/>
    </sheetView>
  </sheetViews>
  <sheetFormatPr defaultColWidth="9" defaultRowHeight="14.15" x14ac:dyDescent="0.3"/>
  <cols>
    <col min="1" max="1" width="13.84375" customWidth="1"/>
    <col min="2" max="2" width="10.23046875" bestFit="1" customWidth="1"/>
    <col min="3" max="10" width="9.23046875" bestFit="1" customWidth="1"/>
  </cols>
  <sheetData>
    <row r="1" spans="1:13" x14ac:dyDescent="0.3">
      <c r="A1" s="2" t="s">
        <v>0</v>
      </c>
      <c r="B1" s="2" t="s">
        <v>10</v>
      </c>
      <c r="C1" s="3" t="s">
        <v>11</v>
      </c>
      <c r="D1" s="3" t="s">
        <v>12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13</v>
      </c>
    </row>
    <row r="2" spans="1:13" x14ac:dyDescent="0.3">
      <c r="A2" s="1" t="s">
        <v>1</v>
      </c>
      <c r="B2" s="1">
        <v>17470</v>
      </c>
      <c r="C2" s="1">
        <v>6136</v>
      </c>
      <c r="D2" s="1">
        <v>1758</v>
      </c>
      <c r="E2" s="1">
        <v>7850</v>
      </c>
      <c r="F2" s="1">
        <v>21426</v>
      </c>
      <c r="G2" s="1">
        <v>10821</v>
      </c>
      <c r="H2" s="1">
        <v>9192</v>
      </c>
      <c r="I2" s="1">
        <v>5703</v>
      </c>
      <c r="J2" s="1">
        <v>137222</v>
      </c>
      <c r="K2" s="1">
        <v>21019</v>
      </c>
      <c r="L2">
        <f>SUM(B2:K2)</f>
        <v>238597</v>
      </c>
      <c r="M2" s="5">
        <f>L2/$L$11</f>
        <v>0.23367716105122746</v>
      </c>
    </row>
    <row r="3" spans="1:13" x14ac:dyDescent="0.3">
      <c r="A3" s="1" t="s">
        <v>2</v>
      </c>
      <c r="B3" s="1">
        <v>59</v>
      </c>
      <c r="C3" s="1">
        <v>13</v>
      </c>
      <c r="D3" s="1">
        <v>5</v>
      </c>
      <c r="E3" s="1">
        <v>25</v>
      </c>
      <c r="F3" s="1">
        <v>16</v>
      </c>
      <c r="G3" s="1">
        <v>41</v>
      </c>
      <c r="H3" s="1">
        <v>85</v>
      </c>
      <c r="I3" s="1">
        <v>18</v>
      </c>
      <c r="J3" s="1">
        <v>38</v>
      </c>
      <c r="K3" s="1">
        <v>42</v>
      </c>
      <c r="L3">
        <f t="shared" ref="L3:L11" si="0">SUM(B3:K3)</f>
        <v>342</v>
      </c>
      <c r="M3" s="5">
        <f t="shared" ref="M3:M11" si="1">L3/$L$11</f>
        <v>3.3494800470885966E-4</v>
      </c>
    </row>
    <row r="4" spans="1:13" x14ac:dyDescent="0.3">
      <c r="A4" s="1" t="s">
        <v>3</v>
      </c>
      <c r="B4" s="1">
        <v>2598</v>
      </c>
      <c r="C4" s="1">
        <v>1421</v>
      </c>
      <c r="D4" s="1">
        <v>334</v>
      </c>
      <c r="E4" s="1">
        <v>1804</v>
      </c>
      <c r="F4" s="1">
        <v>2017</v>
      </c>
      <c r="G4" s="1">
        <v>1836</v>
      </c>
      <c r="H4" s="1">
        <v>2246</v>
      </c>
      <c r="I4" s="1">
        <v>1414</v>
      </c>
      <c r="J4" s="1">
        <v>28210</v>
      </c>
      <c r="K4" s="1">
        <v>4124</v>
      </c>
      <c r="L4">
        <f t="shared" si="0"/>
        <v>46004</v>
      </c>
      <c r="M4" s="5">
        <f t="shared" si="1"/>
        <v>4.5055403533995265E-2</v>
      </c>
    </row>
    <row r="5" spans="1:13" x14ac:dyDescent="0.3">
      <c r="A5" s="1" t="s">
        <v>4</v>
      </c>
      <c r="B5" s="1">
        <v>2120</v>
      </c>
      <c r="C5" s="1">
        <v>721</v>
      </c>
      <c r="D5" s="1">
        <v>149</v>
      </c>
      <c r="E5" s="1">
        <v>2267</v>
      </c>
      <c r="F5" s="1">
        <v>6610</v>
      </c>
      <c r="G5" s="1">
        <v>11676</v>
      </c>
      <c r="H5" s="1">
        <v>3476</v>
      </c>
      <c r="I5" s="1">
        <v>751</v>
      </c>
      <c r="J5" s="1">
        <v>37922</v>
      </c>
      <c r="K5" s="1">
        <v>2704</v>
      </c>
      <c r="L5">
        <f t="shared" si="0"/>
        <v>68396</v>
      </c>
      <c r="M5" s="5">
        <f t="shared" si="1"/>
        <v>6.6985683421249026E-2</v>
      </c>
    </row>
    <row r="6" spans="1:13" x14ac:dyDescent="0.3">
      <c r="A6" s="1" t="s">
        <v>5</v>
      </c>
      <c r="B6" s="1">
        <v>133</v>
      </c>
      <c r="C6" s="1">
        <v>76</v>
      </c>
      <c r="D6" s="1">
        <v>21</v>
      </c>
      <c r="E6" s="1">
        <v>79</v>
      </c>
      <c r="F6" s="1">
        <v>119</v>
      </c>
      <c r="G6" s="1">
        <v>94</v>
      </c>
      <c r="H6" s="1">
        <v>88</v>
      </c>
      <c r="I6" s="1">
        <v>75</v>
      </c>
      <c r="J6" s="1">
        <v>3164</v>
      </c>
      <c r="K6" s="1">
        <v>286</v>
      </c>
      <c r="L6">
        <f t="shared" si="0"/>
        <v>4135</v>
      </c>
      <c r="M6" s="5">
        <f t="shared" si="1"/>
        <v>4.0497368405588733E-3</v>
      </c>
    </row>
    <row r="7" spans="1:13" x14ac:dyDescent="0.3">
      <c r="A7" s="1" t="s">
        <v>6</v>
      </c>
      <c r="B7" s="1">
        <v>4767</v>
      </c>
      <c r="C7" s="1">
        <v>1634</v>
      </c>
      <c r="D7" s="1">
        <v>309</v>
      </c>
      <c r="E7" s="1">
        <v>3124</v>
      </c>
      <c r="F7" s="1">
        <v>2775</v>
      </c>
      <c r="G7" s="1">
        <v>2773</v>
      </c>
      <c r="H7" s="1">
        <v>3051</v>
      </c>
      <c r="I7" s="1">
        <v>1682</v>
      </c>
      <c r="J7" s="1">
        <v>60437</v>
      </c>
      <c r="K7" s="1">
        <v>7225</v>
      </c>
      <c r="L7">
        <f t="shared" si="0"/>
        <v>87777</v>
      </c>
      <c r="M7" s="5">
        <f t="shared" si="1"/>
        <v>8.5967049734881798E-2</v>
      </c>
    </row>
    <row r="8" spans="1:13" x14ac:dyDescent="0.3">
      <c r="A8" s="1" t="s">
        <v>7</v>
      </c>
      <c r="B8" s="1">
        <v>191</v>
      </c>
      <c r="C8" s="1">
        <v>91</v>
      </c>
      <c r="D8" s="1">
        <v>5</v>
      </c>
      <c r="E8" s="1">
        <v>216</v>
      </c>
      <c r="F8" s="1">
        <v>79</v>
      </c>
      <c r="G8" s="1">
        <v>89</v>
      </c>
      <c r="H8" s="1">
        <v>278</v>
      </c>
      <c r="I8" s="1">
        <v>70</v>
      </c>
      <c r="J8" s="1">
        <v>1546</v>
      </c>
      <c r="K8" s="1">
        <v>311</v>
      </c>
      <c r="L8">
        <f t="shared" si="0"/>
        <v>2876</v>
      </c>
      <c r="M8" s="5">
        <f t="shared" si="1"/>
        <v>2.8166972559727499E-3</v>
      </c>
    </row>
    <row r="9" spans="1:13" x14ac:dyDescent="0.3">
      <c r="A9" s="1" t="s">
        <v>8</v>
      </c>
      <c r="B9" s="1">
        <v>45548</v>
      </c>
      <c r="C9" s="1">
        <v>15598</v>
      </c>
      <c r="D9" s="1">
        <v>2846</v>
      </c>
      <c r="E9" s="1">
        <v>21230</v>
      </c>
      <c r="F9" s="1">
        <v>22290</v>
      </c>
      <c r="G9" s="1">
        <v>30891</v>
      </c>
      <c r="H9" s="1">
        <v>24201</v>
      </c>
      <c r="I9" s="1">
        <v>11728</v>
      </c>
      <c r="J9" s="1">
        <v>350249</v>
      </c>
      <c r="K9" s="1">
        <v>46639</v>
      </c>
      <c r="L9">
        <f t="shared" si="0"/>
        <v>571220</v>
      </c>
      <c r="M9" s="5">
        <f t="shared" si="1"/>
        <v>0.55944151827425381</v>
      </c>
    </row>
    <row r="10" spans="1:13" x14ac:dyDescent="0.3">
      <c r="A10" s="1" t="s">
        <v>9</v>
      </c>
      <c r="B10" s="1">
        <v>89</v>
      </c>
      <c r="C10" s="1">
        <v>55</v>
      </c>
      <c r="D10" s="1">
        <v>8</v>
      </c>
      <c r="E10" s="1">
        <v>54</v>
      </c>
      <c r="F10" s="1">
        <v>67</v>
      </c>
      <c r="G10" s="1">
        <v>99</v>
      </c>
      <c r="H10" s="1">
        <v>90</v>
      </c>
      <c r="I10" s="1">
        <v>47</v>
      </c>
      <c r="J10" s="1">
        <v>986</v>
      </c>
      <c r="K10" s="1">
        <v>212</v>
      </c>
      <c r="L10">
        <f t="shared" si="0"/>
        <v>1707</v>
      </c>
      <c r="M10" s="5">
        <f t="shared" si="1"/>
        <v>1.6718018831521153E-3</v>
      </c>
    </row>
    <row r="11" spans="1:13" x14ac:dyDescent="0.3">
      <c r="A11" s="1" t="s">
        <v>13</v>
      </c>
      <c r="B11">
        <f>SUM(B2:B10)</f>
        <v>72975</v>
      </c>
      <c r="C11">
        <f t="shared" ref="C11:K11" si="2">SUM(C2:C10)</f>
        <v>25745</v>
      </c>
      <c r="D11">
        <f t="shared" si="2"/>
        <v>5435</v>
      </c>
      <c r="E11">
        <f t="shared" si="2"/>
        <v>36649</v>
      </c>
      <c r="F11">
        <f t="shared" si="2"/>
        <v>55399</v>
      </c>
      <c r="G11">
        <f t="shared" si="2"/>
        <v>58320</v>
      </c>
      <c r="H11">
        <f t="shared" si="2"/>
        <v>42707</v>
      </c>
      <c r="I11">
        <f t="shared" si="2"/>
        <v>21488</v>
      </c>
      <c r="J11">
        <f t="shared" si="2"/>
        <v>619774</v>
      </c>
      <c r="K11">
        <f t="shared" si="2"/>
        <v>82562</v>
      </c>
      <c r="L11">
        <f t="shared" si="0"/>
        <v>1021054</v>
      </c>
      <c r="M11" s="5">
        <f t="shared" si="1"/>
        <v>1</v>
      </c>
    </row>
    <row r="17" spans="1:14" x14ac:dyDescent="0.3">
      <c r="A17" s="2"/>
      <c r="B17" s="2"/>
      <c r="C17" s="3"/>
      <c r="D17" s="3"/>
      <c r="E17" s="3"/>
      <c r="F17" s="3"/>
      <c r="G17" s="3"/>
      <c r="H17" s="3"/>
      <c r="I17" s="3"/>
      <c r="J17" s="3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M18" s="1" t="s">
        <v>1</v>
      </c>
      <c r="N18">
        <v>238597</v>
      </c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M19" s="1" t="s">
        <v>2</v>
      </c>
      <c r="N19">
        <v>342</v>
      </c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M20" s="1" t="s">
        <v>3</v>
      </c>
      <c r="N20">
        <v>46004</v>
      </c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M21" s="1" t="s">
        <v>4</v>
      </c>
      <c r="N21">
        <v>68396</v>
      </c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M22" s="1" t="s">
        <v>5</v>
      </c>
      <c r="N22">
        <v>4135</v>
      </c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M23" s="1" t="s">
        <v>6</v>
      </c>
      <c r="N23">
        <v>87777</v>
      </c>
    </row>
    <row r="24" spans="1:1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M24" s="1" t="s">
        <v>7</v>
      </c>
      <c r="N24">
        <v>2876</v>
      </c>
    </row>
    <row r="25" spans="1: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M25" s="1" t="s">
        <v>8</v>
      </c>
      <c r="N25">
        <v>571220</v>
      </c>
    </row>
    <row r="26" spans="1:1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M26" s="1" t="s">
        <v>9</v>
      </c>
      <c r="N26">
        <v>1707</v>
      </c>
    </row>
    <row r="27" spans="1:14" x14ac:dyDescent="0.3">
      <c r="A27" s="1"/>
    </row>
    <row r="37" spans="1:10" x14ac:dyDescent="0.3">
      <c r="B37" s="4"/>
    </row>
    <row r="38" spans="1:10" x14ac:dyDescent="0.3">
      <c r="B38" s="2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1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">
      <c r="A40" s="1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1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3">
      <c r="A42" s="1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">
      <c r="A43" s="1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3">
      <c r="A44" s="1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3">
      <c r="A45" s="1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">
      <c r="A46" s="1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3">
      <c r="A47" s="1"/>
      <c r="B47" s="4"/>
      <c r="C47" s="4"/>
      <c r="D47" s="4"/>
      <c r="E47" s="4"/>
      <c r="F47" s="4"/>
      <c r="G47" s="4"/>
      <c r="H47" s="4"/>
      <c r="I47" s="4"/>
      <c r="J47" s="4"/>
    </row>
    <row r="77" spans="8:18" x14ac:dyDescent="0.3"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8:18" x14ac:dyDescent="0.3">
      <c r="H78" s="2"/>
      <c r="I78" s="1"/>
      <c r="J78" s="1"/>
      <c r="K78" s="1"/>
      <c r="L78" s="1"/>
      <c r="M78" s="1"/>
      <c r="N78" s="1"/>
      <c r="O78" s="1"/>
      <c r="P78" s="1"/>
      <c r="Q78" s="1"/>
    </row>
    <row r="79" spans="8:18" x14ac:dyDescent="0.3">
      <c r="H79" s="3"/>
      <c r="I79" s="1"/>
      <c r="J79" s="1"/>
      <c r="K79" s="1"/>
      <c r="L79" s="1"/>
      <c r="M79" s="1"/>
      <c r="N79" s="1"/>
      <c r="O79" s="1"/>
      <c r="P79" s="1"/>
      <c r="Q79" s="1"/>
    </row>
    <row r="80" spans="8:18" x14ac:dyDescent="0.3">
      <c r="H80" s="3"/>
      <c r="I80" s="1"/>
      <c r="J80" s="1"/>
      <c r="K80" s="1"/>
      <c r="L80" s="1"/>
      <c r="M80" s="1"/>
      <c r="N80" s="1"/>
      <c r="O80" s="1"/>
      <c r="P80" s="1"/>
      <c r="Q80" s="1"/>
    </row>
    <row r="81" spans="8:17" x14ac:dyDescent="0.3">
      <c r="H81" s="3"/>
      <c r="I81" s="1"/>
      <c r="J81" s="1"/>
      <c r="K81" s="1"/>
      <c r="L81" s="1"/>
      <c r="M81" s="1"/>
      <c r="N81" s="1"/>
      <c r="O81" s="1"/>
      <c r="P81" s="1"/>
      <c r="Q81" s="1"/>
    </row>
    <row r="82" spans="8:17" x14ac:dyDescent="0.3">
      <c r="H82" s="3"/>
      <c r="I82" s="1"/>
      <c r="J82" s="1"/>
      <c r="K82" s="1"/>
      <c r="L82" s="1"/>
      <c r="M82" s="1"/>
      <c r="N82" s="1"/>
      <c r="O82" s="1"/>
      <c r="P82" s="1"/>
      <c r="Q82" s="1"/>
    </row>
    <row r="83" spans="8:17" x14ac:dyDescent="0.3">
      <c r="H83" s="3"/>
      <c r="I83" s="1"/>
      <c r="J83" s="1"/>
      <c r="K83" s="1"/>
      <c r="L83" s="1"/>
      <c r="M83" s="1"/>
      <c r="N83" s="1"/>
      <c r="O83" s="1"/>
      <c r="P83" s="1"/>
      <c r="Q83" s="1"/>
    </row>
    <row r="84" spans="8:17" x14ac:dyDescent="0.3">
      <c r="H84" s="3"/>
      <c r="I84" s="1"/>
      <c r="J84" s="1"/>
      <c r="K84" s="1"/>
      <c r="L84" s="1"/>
      <c r="M84" s="1"/>
      <c r="N84" s="1"/>
      <c r="O84" s="1"/>
      <c r="P84" s="1"/>
      <c r="Q84" s="1"/>
    </row>
    <row r="85" spans="8:17" x14ac:dyDescent="0.3">
      <c r="H85" s="3"/>
      <c r="I85" s="1"/>
      <c r="J85" s="1"/>
      <c r="K85" s="1"/>
      <c r="L85" s="1"/>
      <c r="M85" s="1"/>
      <c r="N85" s="1"/>
      <c r="O85" s="1"/>
      <c r="P85" s="1"/>
      <c r="Q85" s="1"/>
    </row>
    <row r="86" spans="8:17" x14ac:dyDescent="0.3">
      <c r="H86" s="3"/>
      <c r="I86" s="1"/>
      <c r="J86" s="1"/>
      <c r="K86" s="1"/>
      <c r="L86" s="1"/>
      <c r="M86" s="1"/>
      <c r="N86" s="1"/>
      <c r="O86" s="1"/>
      <c r="P86" s="1"/>
      <c r="Q86" s="1"/>
    </row>
    <row r="87" spans="8:17" x14ac:dyDescent="0.3">
      <c r="H87" s="3"/>
      <c r="I87" s="1"/>
      <c r="J87" s="1"/>
      <c r="K87" s="1"/>
      <c r="L87" s="1"/>
      <c r="M87" s="1"/>
      <c r="N87" s="1"/>
      <c r="O87" s="1"/>
      <c r="P87" s="1"/>
      <c r="Q87" s="1"/>
    </row>
    <row r="88" spans="8:17" x14ac:dyDescent="0.3">
      <c r="H88" s="3"/>
    </row>
    <row r="89" spans="8:17" x14ac:dyDescent="0.3">
      <c r="I89" s="5"/>
      <c r="J89" s="5"/>
      <c r="K89" s="5"/>
      <c r="L89" s="5"/>
      <c r="M89" s="5"/>
      <c r="N89" s="5"/>
      <c r="O89" s="5"/>
      <c r="P89" s="5"/>
      <c r="Q89" s="5"/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</dc:creator>
  <cp:lastModifiedBy>明月 任</cp:lastModifiedBy>
  <dcterms:created xsi:type="dcterms:W3CDTF">2023-05-12T11:15:00Z</dcterms:created>
  <dcterms:modified xsi:type="dcterms:W3CDTF">2025-05-23T05:59:02Z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